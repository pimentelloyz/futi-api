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mailadventistas-my.sharepoint.com/personal/renan_mmoreira_adventistas_org/Documents/Pessoal/"/>
    </mc:Choice>
  </mc:AlternateContent>
  <xr:revisionPtr revIDLastSave="0" documentId="8_{A6676574-FEDD-4C76-AF0A-14F2E62932D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elada FIFA (Ponderado)" sheetId="1" r:id="rId1"/>
    <sheet name="Atribut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</calcChain>
</file>

<file path=xl/sharedStrings.xml><?xml version="1.0" encoding="utf-8"?>
<sst xmlns="http://schemas.openxmlformats.org/spreadsheetml/2006/main" count="104" uniqueCount="69">
  <si>
    <t>Nome</t>
  </si>
  <si>
    <t>Posição</t>
  </si>
  <si>
    <t>Ritmo (PAC)</t>
  </si>
  <si>
    <t>Chute (SHO)</t>
  </si>
  <si>
    <t>Passe (PAS)</t>
  </si>
  <si>
    <t>Drible (DRI)</t>
  </si>
  <si>
    <t>Defesa (DEF)</t>
  </si>
  <si>
    <t>Físico (PHY)</t>
  </si>
  <si>
    <t>Disciplina (DIS)</t>
  </si>
  <si>
    <t>Overall</t>
  </si>
  <si>
    <t>Goleiro</t>
  </si>
  <si>
    <t>Defesa</t>
  </si>
  <si>
    <t>Meio Campo</t>
  </si>
  <si>
    <t>Atacante</t>
  </si>
  <si>
    <t>Meio campo</t>
  </si>
  <si>
    <t>Reflexo (REF)</t>
  </si>
  <si>
    <t>colocação (COL)</t>
  </si>
  <si>
    <t>mãos (MÃO)</t>
  </si>
  <si>
    <t>Mergulho (MER)</t>
  </si>
  <si>
    <t>Jogo com os pés (JCP)</t>
  </si>
  <si>
    <t>Bruno Rholing Moreira</t>
  </si>
  <si>
    <t>Renan Martins Moreira</t>
  </si>
  <si>
    <t>Laercio</t>
  </si>
  <si>
    <t>Matheus Amaral</t>
  </si>
  <si>
    <t>rit</t>
  </si>
  <si>
    <t>fin</t>
  </si>
  <si>
    <t>pas</t>
  </si>
  <si>
    <t>dri</t>
  </si>
  <si>
    <t>def</t>
  </si>
  <si>
    <t>fis</t>
  </si>
  <si>
    <t>disc</t>
  </si>
  <si>
    <t>Ref</t>
  </si>
  <si>
    <t>Col</t>
  </si>
  <si>
    <t>Mãos</t>
  </si>
  <si>
    <t>Merg</t>
  </si>
  <si>
    <t>Jcp</t>
  </si>
  <si>
    <t>Fis</t>
  </si>
  <si>
    <t>Disc</t>
  </si>
  <si>
    <t>Atributo</t>
  </si>
  <si>
    <t>Especificação</t>
  </si>
  <si>
    <t>notas</t>
  </si>
  <si>
    <t>Ritmo (RIT)</t>
  </si>
  <si>
    <t>Velocidade e explosão</t>
  </si>
  <si>
    <t>0 a 99</t>
  </si>
  <si>
    <t>Finalização (FIN)</t>
  </si>
  <si>
    <t>Chute, cabeceio e precisão</t>
  </si>
  <si>
    <t>Qualidade dos passes</t>
  </si>
  <si>
    <t>Habilidade, domínio e controle</t>
  </si>
  <si>
    <t>Marcação, interceptação</t>
  </si>
  <si>
    <t>Físico (FIS)</t>
  </si>
  <si>
    <t>Força, resistência e contato</t>
  </si>
  <si>
    <t>Disciplina (DISC)</t>
  </si>
  <si>
    <t>comportamento e frequencia</t>
  </si>
  <si>
    <t>Goleiro (GOL)</t>
  </si>
  <si>
    <t>Reflexos, colocação, saída (só se tiver goleiro fixo)</t>
  </si>
  <si>
    <t>Colocação (COL)</t>
  </si>
  <si>
    <t>Mãos (MAO)</t>
  </si>
  <si>
    <t>Velocidade e reação</t>
  </si>
  <si>
    <t>posicionamento no gol e saídas áerea</t>
  </si>
  <si>
    <t>Encaixadas e espalmadas</t>
  </si>
  <si>
    <t>Pontes, defesas e melgulho</t>
  </si>
  <si>
    <t>Saída de bola, reposição e fatiadas</t>
  </si>
  <si>
    <t xml:space="preserve">Nº de avaliações </t>
  </si>
  <si>
    <t>aumento/diminuição de nota</t>
  </si>
  <si>
    <t>0 a 2</t>
  </si>
  <si>
    <t>3 a 5</t>
  </si>
  <si>
    <t>6 a 8</t>
  </si>
  <si>
    <t>9 em diante</t>
  </si>
  <si>
    <t>PESO DE NOTAS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</si>
</sst>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vertical="center" wrapText="1"/>
    </xf>
    <xf numFmtId="0" fontId="2" fillId="0" borderId="1" xfId="0" applyFont="1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activeCell="E13" sqref="E13"/>
    </sheetView>
  </sheetViews>
  <sheetFormatPr defaultRowHeight="15" x14ac:dyDescent="0.25"/>
  <cols>
    <col min="1" max="1" width="21.140625" bestFit="1" customWidth="1"/>
    <col min="2" max="8" width="12" customWidth="1"/>
    <col min="9" max="9" width="14" customWidth="1"/>
    <col min="10" max="10" width="10" customWidth="1"/>
    <col min="11" max="11" width="3" customWidth="1"/>
    <col min="12" max="12" width="15.5703125" bestFit="1" customWidth="1"/>
    <col min="13" max="13" width="7.7109375" bestFit="1" customWidth="1"/>
    <col min="14" max="14" width="11.7109375" bestFit="1" customWidth="1"/>
    <col min="15" max="15" width="15" bestFit="1" customWidth="1"/>
    <col min="16" max="16" width="12.140625" bestFit="1" customWidth="1"/>
    <col min="17" max="17" width="15.7109375" bestFit="1" customWidth="1"/>
    <col min="18" max="18" width="20.28515625" bestFit="1" customWidth="1"/>
    <col min="19" max="19" width="14.425781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0</v>
      </c>
      <c r="M1" s="1" t="s">
        <v>1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8</v>
      </c>
      <c r="T1" s="1" t="s">
        <v>9</v>
      </c>
    </row>
    <row r="2" spans="1:20" x14ac:dyDescent="0.25">
      <c r="A2" s="2" t="s">
        <v>21</v>
      </c>
      <c r="B2" s="2"/>
      <c r="C2" s="2">
        <v>78</v>
      </c>
      <c r="D2" s="2">
        <v>81</v>
      </c>
      <c r="E2" s="2">
        <v>83</v>
      </c>
      <c r="F2" s="2">
        <v>86</v>
      </c>
      <c r="G2" s="2">
        <v>70</v>
      </c>
      <c r="H2" s="2">
        <v>74</v>
      </c>
      <c r="I2" s="2">
        <v>90</v>
      </c>
      <c r="J2" s="2" t="str">
        <f t="shared" ref="J2:J21" si="0">IF(B2="Goleiro",ROUND(((0.3*E2+0.25*F2+0.2*G2+0.15*C2+0.1*H2)*0.9+0.1*I2),0),IF(B2="Defesa",ROUND(((0.4*G2+0.3*H2+0.15*E2+0.1*C2+0.05*D2)*0.9+0.1*I2),0),IF(B2="Meio Campo",ROUND(((0.3*E2+0.25*D2+0.2*C2+0.15*G2+0.1*F2)*0.9+0.1*I2),0),IF(B2="Atacante",ROUND(((0.4*D2+0.25*C2+0.15*E2+0.2*F2+0.1)*0.9+0.1*I2),0),""))))</f>
        <v/>
      </c>
      <c r="L2" s="2" t="s">
        <v>23</v>
      </c>
      <c r="M2" s="2" t="s">
        <v>10</v>
      </c>
      <c r="N2" s="2">
        <v>80</v>
      </c>
      <c r="O2" s="2">
        <v>78</v>
      </c>
      <c r="P2" s="2">
        <v>82</v>
      </c>
      <c r="Q2" s="2">
        <v>81</v>
      </c>
      <c r="R2" s="2">
        <v>79</v>
      </c>
      <c r="S2" s="2">
        <v>85</v>
      </c>
      <c r="T2" s="2">
        <f>IF(M2="Goleiro",ROUND(((0.3*P2+0.15*Q2+0.2*R2+0.25*N2+0.1*O2)*0.9+0.1*S2),0),IF(M2="Defesa",ROUND(((0.4*R2+0.3*#REF!+0.15*P2+0.1*N2+0.05*O2)*0.9+0.1*S2),0),IF(M2="Meio Campo",ROUND(((0.3*P2+0.25*O2+0.2*N2+0.15*R2+0.1*Q2)*0.9+0.1*S2),0),IF(M2="Atacante",ROUND(((0.4*O2+0.25*N2+0.15*P2+0.2*Q2+0.1)*0.9+0.1*S2),0),""))))</f>
        <v>81</v>
      </c>
    </row>
    <row r="3" spans="1:20" x14ac:dyDescent="0.25">
      <c r="A3" s="2" t="s">
        <v>20</v>
      </c>
      <c r="B3" s="2"/>
      <c r="C3" s="2">
        <v>75</v>
      </c>
      <c r="D3" s="2">
        <v>83</v>
      </c>
      <c r="E3" s="2">
        <v>83</v>
      </c>
      <c r="F3" s="2">
        <v>78</v>
      </c>
      <c r="G3" s="2">
        <v>85</v>
      </c>
      <c r="H3" s="2">
        <v>73</v>
      </c>
      <c r="I3" s="2">
        <v>90</v>
      </c>
      <c r="J3" s="2" t="str">
        <f t="shared" si="0"/>
        <v/>
      </c>
      <c r="L3" s="2"/>
      <c r="M3" s="2"/>
      <c r="N3" s="2"/>
      <c r="O3" s="2"/>
      <c r="P3" s="2"/>
      <c r="Q3" s="2"/>
      <c r="R3" s="2"/>
      <c r="S3" s="2"/>
      <c r="T3" s="2" t="str">
        <f>IF(M3="Goleiro",ROUND(((0.3*P3+0.15*Q3+0.2*R3+0.25*N3+0.1*O3)*0.9+0.1*S3),0),IF(M3="Defesa",ROUND(((0.4*R3+0.3*#REF!+0.15*P3+0.1*N3+0.05*O3)*0.9+0.1*S3),0),IF(M3="Meio Campo",ROUND(((0.3*P3+0.25*O3+0.2*N3+0.15*R3+0.1*Q3)*0.9+0.1*S3),0),IF(M3="Atacante",ROUND(((0.4*O3+0.25*N3+0.15*P3+0.2*Q3+0.1)*0.9+0.1*S3),0),""))))</f>
        <v/>
      </c>
    </row>
    <row r="4" spans="1:20" x14ac:dyDescent="0.25">
      <c r="A4" s="2" t="s">
        <v>22</v>
      </c>
      <c r="B4" s="2"/>
      <c r="C4" s="2">
        <v>70</v>
      </c>
      <c r="D4" s="2">
        <v>78</v>
      </c>
      <c r="E4" s="2">
        <v>80</v>
      </c>
      <c r="F4" s="2">
        <v>77</v>
      </c>
      <c r="G4" s="2">
        <v>85</v>
      </c>
      <c r="H4" s="2">
        <v>78</v>
      </c>
      <c r="I4" s="2">
        <v>90</v>
      </c>
      <c r="J4" s="2" t="str">
        <f t="shared" si="0"/>
        <v/>
      </c>
      <c r="L4" s="2"/>
      <c r="M4" s="2"/>
      <c r="N4" s="2"/>
      <c r="O4" s="2"/>
      <c r="P4" s="2"/>
      <c r="Q4" s="2"/>
      <c r="R4" s="2"/>
      <c r="S4" s="2"/>
      <c r="T4" s="2" t="str">
        <f>IF(M4="Goleiro",ROUND(((0.3*P4+0.15*Q4+0.2*R4+0.25*N4+0.1*O4)*0.9+0.1*S4),0),IF(M4="Defesa",ROUND(((0.4*R4+0.3*#REF!+0.15*P4+0.1*N4+0.05*O4)*0.9+0.1*S4),0),IF(M4="Meio Campo",ROUND(((0.3*P4+0.25*O4+0.2*N4+0.15*R4+0.1*Q4)*0.9+0.1*S4),0),IF(M4="Atacante",ROUND(((0.4*O4+0.25*N4+0.15*P4+0.2*Q4+0.1)*0.9+0.1*S4),0),""))))</f>
        <v/>
      </c>
    </row>
    <row r="5" spans="1:20" x14ac:dyDescent="0.25">
      <c r="A5" s="2"/>
      <c r="B5" s="2"/>
      <c r="C5" s="2"/>
      <c r="D5" s="2"/>
      <c r="E5" s="2"/>
      <c r="F5" s="2"/>
      <c r="G5" s="2"/>
      <c r="H5" s="2"/>
      <c r="I5" s="2"/>
      <c r="J5" s="2" t="str">
        <f t="shared" si="0"/>
        <v/>
      </c>
      <c r="L5" s="2"/>
      <c r="M5" s="2"/>
      <c r="N5" s="2"/>
      <c r="O5" s="2"/>
      <c r="P5" s="2"/>
      <c r="Q5" s="2"/>
      <c r="R5" s="2"/>
      <c r="S5" s="2"/>
      <c r="T5" s="2" t="str">
        <f>IF(M5="Goleiro",ROUND(((0.3*P5+0.15*Q5+0.2*R5+0.25*N5+0.1*O5)*0.9+0.1*S5),0),IF(M5="Defesa",ROUND(((0.4*R5+0.3*#REF!+0.15*P5+0.1*N5+0.05*O5)*0.9+0.1*S5),0),IF(M5="Meio Campo",ROUND(((0.3*P5+0.25*O5+0.2*N5+0.15*R5+0.1*Q5)*0.9+0.1*S5),0),IF(M5="Atacante",ROUND(((0.4*O5+0.25*N5+0.15*P5+0.2*Q5+0.1)*0.9+0.1*S5),0),""))))</f>
        <v/>
      </c>
    </row>
    <row r="6" spans="1:20" x14ac:dyDescent="0.25">
      <c r="A6" s="2"/>
      <c r="B6" s="2"/>
      <c r="C6" s="2"/>
      <c r="D6" s="2"/>
      <c r="E6" s="2"/>
      <c r="F6" s="2"/>
      <c r="G6" s="2"/>
      <c r="H6" s="2"/>
      <c r="I6" s="2"/>
      <c r="J6" s="2" t="str">
        <f t="shared" si="0"/>
        <v/>
      </c>
      <c r="L6" s="2"/>
      <c r="M6" s="2"/>
      <c r="N6" s="2"/>
      <c r="O6" s="2"/>
      <c r="P6" s="2"/>
      <c r="Q6" s="2"/>
      <c r="R6" s="2"/>
      <c r="S6" s="2"/>
      <c r="T6" s="2" t="str">
        <f>IF(M6="Goleiro",ROUND(((0.3*P6+0.15*Q6+0.2*R6+0.25*N6+0.1*O6)*0.9+0.1*S6),0),IF(M6="Defesa",ROUND(((0.4*R6+0.3*#REF!+0.15*P6+0.1*N6+0.05*O6)*0.9+0.1*S6),0),IF(M6="Meio Campo",ROUND(((0.3*P6+0.25*O6+0.2*N6+0.15*R6+0.1*Q6)*0.9+0.1*S6),0),IF(M6="Atacante",ROUND(((0.4*O6+0.25*N6+0.15*P6+0.2*Q6+0.1)*0.9+0.1*S6),0),""))))</f>
        <v/>
      </c>
    </row>
    <row r="7" spans="1:20" x14ac:dyDescent="0.25">
      <c r="A7" s="2"/>
      <c r="B7" s="2"/>
      <c r="C7" s="2"/>
      <c r="D7" s="2"/>
      <c r="E7" s="2"/>
      <c r="F7" s="2"/>
      <c r="G7" s="2"/>
      <c r="H7" s="2"/>
      <c r="I7" s="2"/>
      <c r="J7" s="2" t="str">
        <f t="shared" si="0"/>
        <v/>
      </c>
    </row>
    <row r="8" spans="1:20" x14ac:dyDescent="0.25">
      <c r="A8" s="2"/>
      <c r="B8" s="2"/>
      <c r="C8" s="2"/>
      <c r="D8" s="2"/>
      <c r="E8" s="2"/>
      <c r="F8" s="2"/>
      <c r="G8" s="2"/>
      <c r="H8" s="2"/>
      <c r="I8" s="2"/>
      <c r="J8" s="2" t="str">
        <f t="shared" si="0"/>
        <v/>
      </c>
    </row>
    <row r="9" spans="1:20" x14ac:dyDescent="0.25">
      <c r="A9" s="2"/>
      <c r="B9" s="2"/>
      <c r="C9" s="2"/>
      <c r="D9" s="2"/>
      <c r="E9" s="2"/>
      <c r="F9" s="2"/>
      <c r="G9" s="2"/>
      <c r="H9" s="2"/>
      <c r="I9" s="2"/>
      <c r="J9" s="2" t="str">
        <f t="shared" si="0"/>
        <v/>
      </c>
    </row>
    <row r="10" spans="1:20" x14ac:dyDescent="0.25">
      <c r="A10" s="2"/>
      <c r="B10" s="2"/>
      <c r="C10" s="2"/>
      <c r="D10" s="2"/>
      <c r="E10" s="2"/>
      <c r="F10" s="2"/>
      <c r="G10" s="2"/>
      <c r="H10" s="2"/>
      <c r="I10" s="2"/>
      <c r="J10" s="2" t="str">
        <f t="shared" si="0"/>
        <v/>
      </c>
    </row>
    <row r="11" spans="1:20" x14ac:dyDescent="0.25">
      <c r="A11" s="2"/>
      <c r="B11" s="2"/>
      <c r="C11" s="2"/>
      <c r="D11" s="2"/>
      <c r="E11" s="2"/>
      <c r="F11" s="2"/>
      <c r="G11" s="2"/>
      <c r="H11" s="2"/>
      <c r="I11" s="2"/>
      <c r="J11" s="2" t="str">
        <f t="shared" si="0"/>
        <v/>
      </c>
    </row>
    <row r="12" spans="1:20" x14ac:dyDescent="0.25">
      <c r="A12" s="2"/>
      <c r="B12" s="2"/>
      <c r="C12" s="2"/>
      <c r="D12" s="2"/>
      <c r="E12" s="2"/>
      <c r="F12" s="2"/>
      <c r="G12" s="2"/>
      <c r="H12" s="2"/>
      <c r="I12" s="2"/>
      <c r="J12" s="2" t="str">
        <f t="shared" si="0"/>
        <v/>
      </c>
    </row>
    <row r="13" spans="1:20" x14ac:dyDescent="0.25">
      <c r="A13" s="2"/>
      <c r="B13" s="2"/>
      <c r="C13" s="2"/>
      <c r="D13" s="2"/>
      <c r="E13" s="2"/>
      <c r="F13" s="2"/>
      <c r="G13" s="2"/>
      <c r="H13" s="2"/>
      <c r="I13" s="2"/>
      <c r="J13" s="2" t="str">
        <f t="shared" si="0"/>
        <v/>
      </c>
    </row>
    <row r="14" spans="1:20" x14ac:dyDescent="0.25">
      <c r="A14" s="2"/>
      <c r="B14" s="2"/>
      <c r="C14" s="2"/>
      <c r="D14" s="2"/>
      <c r="E14" s="2"/>
      <c r="F14" s="2"/>
      <c r="G14" s="2"/>
      <c r="H14" s="2"/>
      <c r="I14" s="2"/>
      <c r="J14" s="2" t="str">
        <f t="shared" si="0"/>
        <v/>
      </c>
    </row>
    <row r="15" spans="1:20" x14ac:dyDescent="0.25">
      <c r="A15" s="2"/>
      <c r="B15" s="2"/>
      <c r="C15" s="2"/>
      <c r="D15" s="2"/>
      <c r="E15" s="2"/>
      <c r="F15" s="2"/>
      <c r="G15" s="2"/>
      <c r="H15" s="2"/>
      <c r="I15" s="2"/>
      <c r="J15" s="2" t="str">
        <f t="shared" si="0"/>
        <v/>
      </c>
    </row>
    <row r="16" spans="1:20" x14ac:dyDescent="0.25">
      <c r="A16" s="2"/>
      <c r="B16" s="2"/>
      <c r="C16" s="2"/>
      <c r="D16" s="2"/>
      <c r="E16" s="2"/>
      <c r="F16" s="2"/>
      <c r="G16" s="2"/>
      <c r="H16" s="2"/>
      <c r="I16" s="2"/>
      <c r="J16" s="2" t="str">
        <f t="shared" si="0"/>
        <v/>
      </c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 t="str">
        <f t="shared" si="0"/>
        <v/>
      </c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 t="str">
        <f t="shared" si="0"/>
        <v/>
      </c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 t="str">
        <f t="shared" si="0"/>
        <v/>
      </c>
    </row>
    <row r="20" spans="1:10" x14ac:dyDescent="0.25">
      <c r="A20" s="2"/>
      <c r="B20" s="2"/>
      <c r="C20" s="2"/>
      <c r="D20" s="2"/>
      <c r="E20" s="2"/>
      <c r="F20" s="2"/>
      <c r="G20" s="2"/>
      <c r="H20" s="2"/>
      <c r="I20" s="2"/>
      <c r="J20" s="2" t="str">
        <f t="shared" si="0"/>
        <v/>
      </c>
    </row>
    <row r="21" spans="1:10" x14ac:dyDescent="0.25">
      <c r="A21" s="2"/>
      <c r="B21" s="2"/>
      <c r="C21" s="2"/>
      <c r="D21" s="2"/>
      <c r="E21" s="2"/>
      <c r="F21" s="2"/>
      <c r="G21" s="2"/>
      <c r="H21" s="2"/>
      <c r="I21" s="2"/>
      <c r="J21" s="2" t="str">
        <f t="shared" si="0"/>
        <v/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9F62D6B4-28BA-480E-8BB9-4E56A6A097BE}">
          <x14:formula1>
            <xm:f>Atributos!$B$3:$B$5</xm:f>
          </x14:formula1>
          <xm:sqref>B2:B21</xm:sqref>
        </x14:dataValidation>
        <x14:dataValidation type="list" allowBlank="1" showInputMessage="1" showErrorMessage="1" xr:uid="{90A1C796-42AA-4490-8D15-1C859F77592A}">
          <x14:formula1>
            <xm:f>Atributos!$B$2</xm:f>
          </x14:formula1>
          <xm:sqref>M2:M6</xm:sqref>
        </x14:dataValidation>
        <x14:dataValidation type="textLength" allowBlank="1" showInputMessage="1" showErrorMessage="1" xr:uid="{0E833AE9-A868-420A-AE78-3357F11284A7}">
          <x14:formula1>
            <xm:f>Atributos!B3</xm:f>
          </x14:formula1>
          <x14:formula2>
            <xm:f>Atributos!B5</xm:f>
          </x14:formula2>
          <xm:sqref>B1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1A9E9-D559-4BC4-9DF2-C1F030BC0D1B}">
  <dimension ref="B2:S21"/>
  <sheetViews>
    <sheetView workbookViewId="0">
      <selection activeCell="K21" sqref="K21"/>
    </sheetView>
  </sheetViews>
  <sheetFormatPr defaultRowHeight="15" x14ac:dyDescent="0.25"/>
  <cols>
    <col min="8" max="8" width="27.42578125" bestFit="1" customWidth="1"/>
    <col min="9" max="9" width="8.85546875" customWidth="1"/>
    <col min="16" max="16" width="2.7109375" customWidth="1"/>
    <col min="17" max="17" width="22.85546875" customWidth="1"/>
    <col min="18" max="18" width="50.7109375" customWidth="1"/>
  </cols>
  <sheetData>
    <row r="2" spans="2:19" x14ac:dyDescent="0.25">
      <c r="B2" t="s">
        <v>10</v>
      </c>
      <c r="H2" s="10" t="s">
        <v>68</v>
      </c>
      <c r="I2" s="10"/>
      <c r="J2" s="10"/>
      <c r="K2" s="10"/>
      <c r="L2" s="10"/>
      <c r="M2" s="10"/>
      <c r="N2" s="10"/>
      <c r="O2" s="10"/>
    </row>
    <row r="3" spans="2:19" x14ac:dyDescent="0.25">
      <c r="B3" t="s">
        <v>11</v>
      </c>
      <c r="H3" s="3"/>
      <c r="I3" s="4" t="s">
        <v>24</v>
      </c>
      <c r="J3" s="4" t="s">
        <v>25</v>
      </c>
      <c r="K3" s="4" t="s">
        <v>26</v>
      </c>
      <c r="L3" s="4" t="s">
        <v>27</v>
      </c>
      <c r="M3" s="4" t="s">
        <v>28</v>
      </c>
      <c r="N3" s="4" t="s">
        <v>29</v>
      </c>
      <c r="O3" s="4" t="s">
        <v>30</v>
      </c>
      <c r="Q3" s="6" t="s">
        <v>38</v>
      </c>
      <c r="R3" s="6" t="s">
        <v>39</v>
      </c>
      <c r="S3" s="7" t="s">
        <v>40</v>
      </c>
    </row>
    <row r="4" spans="2:19" x14ac:dyDescent="0.25">
      <c r="B4" t="s">
        <v>12</v>
      </c>
      <c r="H4" s="5" t="s">
        <v>13</v>
      </c>
      <c r="I4" s="3">
        <v>0.25</v>
      </c>
      <c r="J4" s="3">
        <v>0.4</v>
      </c>
      <c r="K4" s="3">
        <v>0.15</v>
      </c>
      <c r="L4" s="3">
        <v>0.2</v>
      </c>
      <c r="M4" s="3">
        <v>0</v>
      </c>
      <c r="N4" s="3">
        <v>0.1</v>
      </c>
      <c r="O4" s="3">
        <v>0.1</v>
      </c>
      <c r="Q4" s="8" t="s">
        <v>41</v>
      </c>
      <c r="R4" s="8" t="s">
        <v>42</v>
      </c>
      <c r="S4" s="3" t="s">
        <v>43</v>
      </c>
    </row>
    <row r="5" spans="2:19" x14ac:dyDescent="0.25">
      <c r="B5" t="s">
        <v>13</v>
      </c>
      <c r="H5" s="5" t="s">
        <v>14</v>
      </c>
      <c r="I5" s="3">
        <v>0.2</v>
      </c>
      <c r="J5" s="3">
        <v>0.25</v>
      </c>
      <c r="K5" s="3">
        <v>0.3</v>
      </c>
      <c r="L5" s="3">
        <v>0.1</v>
      </c>
      <c r="M5" s="3">
        <v>0.15</v>
      </c>
      <c r="N5" s="3">
        <v>0</v>
      </c>
      <c r="O5" s="3">
        <v>0.1</v>
      </c>
      <c r="Q5" s="8" t="s">
        <v>44</v>
      </c>
      <c r="R5" s="8" t="s">
        <v>45</v>
      </c>
      <c r="S5" s="3" t="s">
        <v>43</v>
      </c>
    </row>
    <row r="6" spans="2:19" x14ac:dyDescent="0.25">
      <c r="H6" s="5" t="s">
        <v>11</v>
      </c>
      <c r="I6" s="3">
        <v>0.1</v>
      </c>
      <c r="J6" s="3">
        <v>0.05</v>
      </c>
      <c r="K6" s="3">
        <v>0.15</v>
      </c>
      <c r="L6" s="3">
        <v>0</v>
      </c>
      <c r="M6" s="3">
        <v>0.4</v>
      </c>
      <c r="N6" s="3">
        <v>0.3</v>
      </c>
      <c r="O6" s="3">
        <v>0.1</v>
      </c>
      <c r="Q6" s="8" t="s">
        <v>4</v>
      </c>
      <c r="R6" s="8" t="s">
        <v>46</v>
      </c>
      <c r="S6" s="3" t="s">
        <v>43</v>
      </c>
    </row>
    <row r="7" spans="2:19" x14ac:dyDescent="0.25">
      <c r="Q7" s="8" t="s">
        <v>5</v>
      </c>
      <c r="R7" s="8" t="s">
        <v>47</v>
      </c>
      <c r="S7" s="3" t="s">
        <v>43</v>
      </c>
    </row>
    <row r="8" spans="2:19" x14ac:dyDescent="0.25">
      <c r="H8" s="3"/>
      <c r="I8" s="9" t="s">
        <v>31</v>
      </c>
      <c r="J8" s="9" t="s">
        <v>32</v>
      </c>
      <c r="K8" s="9" t="s">
        <v>33</v>
      </c>
      <c r="L8" s="9" t="s">
        <v>34</v>
      </c>
      <c r="M8" s="9" t="s">
        <v>35</v>
      </c>
      <c r="N8" s="9" t="s">
        <v>36</v>
      </c>
      <c r="O8" s="9" t="s">
        <v>37</v>
      </c>
      <c r="Q8" s="8" t="s">
        <v>6</v>
      </c>
      <c r="R8" s="8" t="s">
        <v>48</v>
      </c>
      <c r="S8" s="3" t="s">
        <v>43</v>
      </c>
    </row>
    <row r="9" spans="2:19" x14ac:dyDescent="0.25">
      <c r="H9" s="5" t="s">
        <v>10</v>
      </c>
      <c r="I9" s="3">
        <v>0.25</v>
      </c>
      <c r="J9" s="3">
        <v>0.1</v>
      </c>
      <c r="K9" s="3">
        <v>0.3</v>
      </c>
      <c r="L9" s="3">
        <v>0.15</v>
      </c>
      <c r="M9" s="3">
        <v>0.2</v>
      </c>
      <c r="N9" s="3">
        <v>0</v>
      </c>
      <c r="O9" s="3">
        <v>0.1</v>
      </c>
      <c r="Q9" s="8" t="s">
        <v>49</v>
      </c>
      <c r="R9" s="8" t="s">
        <v>50</v>
      </c>
      <c r="S9" s="3" t="s">
        <v>43</v>
      </c>
    </row>
    <row r="10" spans="2:19" x14ac:dyDescent="0.25">
      <c r="Q10" s="8" t="s">
        <v>51</v>
      </c>
      <c r="R10" s="8" t="s">
        <v>52</v>
      </c>
      <c r="S10" s="3" t="s">
        <v>43</v>
      </c>
    </row>
    <row r="11" spans="2:19" x14ac:dyDescent="0.25">
      <c r="Q11" s="8" t="s">
        <v>53</v>
      </c>
      <c r="R11" s="8" t="s">
        <v>54</v>
      </c>
      <c r="S11" s="3" t="s">
        <v>43</v>
      </c>
    </row>
    <row r="13" spans="2:19" x14ac:dyDescent="0.25">
      <c r="G13" s="9" t="s">
        <v>62</v>
      </c>
      <c r="H13" s="9" t="s">
        <v>63</v>
      </c>
    </row>
    <row r="14" spans="2:19" x14ac:dyDescent="0.25">
      <c r="G14" s="3" t="s">
        <v>64</v>
      </c>
      <c r="H14" s="3">
        <v>0</v>
      </c>
      <c r="Q14" s="6" t="s">
        <v>38</v>
      </c>
      <c r="R14" s="6" t="s">
        <v>39</v>
      </c>
      <c r="S14" s="7" t="s">
        <v>40</v>
      </c>
    </row>
    <row r="15" spans="2:19" x14ac:dyDescent="0.25">
      <c r="G15" s="3" t="s">
        <v>65</v>
      </c>
      <c r="H15" s="3">
        <v>1</v>
      </c>
      <c r="Q15" s="8" t="s">
        <v>15</v>
      </c>
      <c r="R15" s="8" t="s">
        <v>57</v>
      </c>
      <c r="S15" s="3" t="s">
        <v>43</v>
      </c>
    </row>
    <row r="16" spans="2:19" x14ac:dyDescent="0.25">
      <c r="G16" s="3" t="s">
        <v>66</v>
      </c>
      <c r="H16" s="3">
        <v>2</v>
      </c>
      <c r="Q16" s="8" t="s">
        <v>55</v>
      </c>
      <c r="R16" s="8" t="s">
        <v>58</v>
      </c>
      <c r="S16" s="3" t="s">
        <v>43</v>
      </c>
    </row>
    <row r="17" spans="7:19" x14ac:dyDescent="0.25">
      <c r="G17" s="3" t="s">
        <v>67</v>
      </c>
      <c r="H17" s="3">
        <v>3</v>
      </c>
      <c r="Q17" s="8" t="s">
        <v>56</v>
      </c>
      <c r="R17" s="8" t="s">
        <v>59</v>
      </c>
      <c r="S17" s="3" t="s">
        <v>43</v>
      </c>
    </row>
    <row r="18" spans="7:19" x14ac:dyDescent="0.25">
      <c r="Q18" s="8" t="s">
        <v>18</v>
      </c>
      <c r="R18" s="8" t="s">
        <v>60</v>
      </c>
      <c r="S18" s="3" t="s">
        <v>43</v>
      </c>
    </row>
    <row r="19" spans="7:19" x14ac:dyDescent="0.25">
      <c r="Q19" s="8" t="s">
        <v>19</v>
      </c>
      <c r="R19" s="8" t="s">
        <v>61</v>
      </c>
      <c r="S19" s="3" t="s">
        <v>43</v>
      </c>
    </row>
    <row r="20" spans="7:19" x14ac:dyDescent="0.25">
      <c r="Q20" s="8" t="s">
        <v>49</v>
      </c>
      <c r="R20" s="8" t="s">
        <v>50</v>
      </c>
      <c r="S20" s="3" t="s">
        <v>43</v>
      </c>
    </row>
    <row r="21" spans="7:19" x14ac:dyDescent="0.25">
      <c r="Q21" s="8" t="s">
        <v>51</v>
      </c>
      <c r="R21" s="8" t="s">
        <v>52</v>
      </c>
      <c r="S21" s="3" t="s">
        <v>43</v>
      </c>
    </row>
  </sheetData>
  <mergeCells count="1">
    <mergeCell ref="H2:O2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04506E-2671-4679-8CE9-85320C1CDF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Pelada FIFA (Ponderado)</vt:lpstr>
      <vt:lpstr>Atributos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USB - CTec - Renan Martins Moreira</cp:lastModifiedBy>
  <dcterms:created xsi:type="dcterms:W3CDTF">2025-11-13T12:10:11Z</dcterms:created>
  <dcterms:modified xsi:type="dcterms:W3CDTF">2025-11-13T13:30:54Z</dcterms:modified>
</cp:coreProperties>
</file>